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encial" sheetId="1" state="visible" r:id="rId1"/>
    <sheet name="2 Hilos" sheetId="2" state="visible" r:id="rId2"/>
    <sheet name="4 Hilos" sheetId="3" state="visible" r:id="rId3"/>
    <sheet name="6 Hilos" sheetId="4" state="visible" r:id="rId4"/>
    <sheet name="8 Hilos" sheetId="5" state="visible" r:id="rId5"/>
    <sheet name="12 Hilos" sheetId="6" state="visible" r:id="rId6"/>
    <sheet name="Procesos" sheetId="7" state="visible" r:id="rId7"/>
    <sheet name="Resumen" sheetId="8" state="visible" r:id="rId8"/>
    <sheet name="Gráfic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375623"/>
      <sz val="10"/>
    </font>
    <font>
      <name val="Arial"/>
      <b val="1"/>
      <color rgb="00FFFFFF"/>
      <sz val="9"/>
    </font>
    <font>
      <name val="Arial"/>
      <color rgb="00375623"/>
      <sz val="10"/>
    </font>
    <font>
      <name val="Arial"/>
      <b val="1"/>
      <color rgb="00FFFFFF"/>
      <sz val="11"/>
    </font>
    <font>
      <name val="Arial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9FF"/>
      </patternFill>
    </fill>
    <fill>
      <patternFill patternType="solid">
        <fgColor rgb="00EAF4E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/>
    </xf>
    <xf numFmtId="164" fontId="4" fillId="5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5" fontId="5" fillId="6" borderId="1" applyAlignment="1" pivotButton="0" quotePrefix="0" xfId="0">
      <alignment horizontal="right"/>
    </xf>
    <xf numFmtId="164" fontId="4" fillId="7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165" fontId="7" fillId="6" borderId="1" applyAlignment="1" pivotButton="0" quotePrefix="0" xfId="0">
      <alignment horizontal="right"/>
    </xf>
    <xf numFmtId="165" fontId="7" fillId="8" borderId="1" applyAlignment="1" pivotButton="0" quotePrefix="0" xfId="0">
      <alignment horizontal="right"/>
    </xf>
    <xf numFmtId="0" fontId="8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Tiempo de ejecución vs Dimensión de la matriz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'Gráficas'!$B$3:$B$7</f>
            </numRef>
          </val>
        </ser>
        <ser>
          <idx val="1"/>
          <order val="1"/>
          <tx>
            <strRef>
              <f>'Gráficas'!C2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'Gráficas'!$C$3:$C$7</f>
            </numRef>
          </val>
        </ser>
        <ser>
          <idx val="2"/>
          <order val="2"/>
          <tx>
            <strRef>
              <f>'Gráficas'!D2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'Gráficas'!$D$3:$D$7</f>
            </numRef>
          </val>
        </ser>
        <ser>
          <idx val="3"/>
          <order val="3"/>
          <tx>
            <strRef>
              <f>'Gráficas'!E2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'Gráficas'!$E$3:$E$7</f>
            </numRef>
          </val>
        </ser>
        <ser>
          <idx val="4"/>
          <order val="4"/>
          <tx>
            <strRef>
              <f>'Gráficas'!F2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'Gráficas'!$F$3:$F$7</f>
            </numRef>
          </val>
        </ser>
        <ser>
          <idx val="5"/>
          <order val="5"/>
          <tx>
            <strRef>
              <f>'Gráficas'!G2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'Gráficas'!$G$3:$G$7</f>
            </numRef>
          </val>
        </ser>
        <ser>
          <idx val="6"/>
          <order val="6"/>
          <tx>
            <strRef>
              <f>'Gráficas'!H2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'Gráficas'!$A$3:$A$7</f>
            </numRef>
          </cat>
          <val>
            <numRef>
              <f>'Gráficas'!$H$3:$H$7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Dimensión N (NxN)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promedio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Speedup vs Dimensión de la matriz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'Gráficas'!$C$11:$C$15</f>
            </numRef>
          </val>
        </ser>
        <ser>
          <idx val="1"/>
          <order val="1"/>
          <tx>
            <strRef>
              <f>'Gráficas'!D10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'Gráficas'!$D$11:$D$15</f>
            </numRef>
          </val>
        </ser>
        <ser>
          <idx val="2"/>
          <order val="2"/>
          <tx>
            <strRef>
              <f>'Gráficas'!E10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'Gráficas'!$E$11:$E$15</f>
            </numRef>
          </val>
        </ser>
        <ser>
          <idx val="3"/>
          <order val="3"/>
          <tx>
            <strRef>
              <f>'Gráficas'!F10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'Gráficas'!$F$11:$F$15</f>
            </numRef>
          </val>
        </ser>
        <ser>
          <idx val="4"/>
          <order val="4"/>
          <tx>
            <strRef>
              <f>'Gráficas'!G10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'Gráficas'!$G$11:$G$15</f>
            </numRef>
          </val>
        </ser>
        <ser>
          <idx val="5"/>
          <order val="5"/>
          <tx>
            <strRef>
              <f>'Gráficas'!H10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'Gráficas'!$A$11:$A$15</f>
            </numRef>
          </cat>
          <val>
            <numRef>
              <f>'Gráficas'!$H$11:$H$15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Dimensión N (NxN)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(T_seq / T_paralelo)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Secuencial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AVERAGE(B3:K3)</f>
        <v/>
      </c>
      <c r="M3" s="7" t="n">
        <v>1</v>
      </c>
    </row>
    <row r="4">
      <c r="A4" s="4" t="inlineStr">
        <is>
          <t>800 x 800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6">
        <f>AVERAGE(B4:K4)</f>
        <v/>
      </c>
      <c r="M4" s="7" t="n">
        <v>1</v>
      </c>
    </row>
    <row r="5">
      <c r="A5" s="4" t="inlineStr">
        <is>
          <t>1600 x 1600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AVERAGE(B5:K5)</f>
        <v/>
      </c>
      <c r="M5" s="7" t="n">
        <v>1</v>
      </c>
    </row>
    <row r="6">
      <c r="A6" s="4" t="inlineStr">
        <is>
          <t>3200 x 3200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6">
        <f>AVERAGE(B6:K6)</f>
        <v/>
      </c>
      <c r="M6" s="7" t="n">
        <v>1</v>
      </c>
    </row>
    <row r="7">
      <c r="A7" s="4" t="inlineStr">
        <is>
          <t>6400 x 6400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AVERAGE(B7:K7)</f>
        <v/>
      </c>
      <c r="M7" s="7" t="n">
        <v>1</v>
      </c>
    </row>
  </sheetData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2 Hilos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10.424</v>
      </c>
      <c r="C3" s="5" t="n">
        <v>10.834</v>
      </c>
      <c r="D3" s="5" t="n">
        <v>10.537</v>
      </c>
      <c r="E3" s="5" t="n">
        <v>10.507</v>
      </c>
      <c r="F3" s="5" t="n">
        <v>10.496</v>
      </c>
      <c r="G3" s="5" t="n">
        <v>10.503</v>
      </c>
      <c r="H3" s="5" t="n">
        <v>10.538</v>
      </c>
      <c r="I3" s="5" t="n">
        <v>10.513</v>
      </c>
      <c r="J3" s="5" t="n">
        <v>10.658</v>
      </c>
      <c r="K3" s="5" t="n">
        <v>10.657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83.572</v>
      </c>
      <c r="C4" s="8" t="n">
        <v>85.258</v>
      </c>
      <c r="D4" s="8" t="n">
        <v>83.687</v>
      </c>
      <c r="E4" s="8" t="n">
        <v>83.718</v>
      </c>
      <c r="F4" s="8" t="n">
        <v>85.16500000000001</v>
      </c>
      <c r="G4" s="8" t="n">
        <v>83.623</v>
      </c>
      <c r="H4" s="8" t="n">
        <v>83.54900000000001</v>
      </c>
      <c r="I4" s="8" t="n">
        <v>83.81699999999999</v>
      </c>
      <c r="J4" s="8" t="n">
        <v>85.242</v>
      </c>
      <c r="K4" s="8" t="n">
        <v>83.834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672.905</v>
      </c>
      <c r="C5" s="5" t="n">
        <v>680.029</v>
      </c>
      <c r="D5" s="5" t="n">
        <v>678.083</v>
      </c>
      <c r="E5" s="5" t="n">
        <v>666.271</v>
      </c>
      <c r="F5" s="5" t="n">
        <v>677.674</v>
      </c>
      <c r="G5" s="5" t="n">
        <v>678.429</v>
      </c>
      <c r="H5" s="5" t="n">
        <v>677.794</v>
      </c>
      <c r="I5" s="5" t="n">
        <v>665.971</v>
      </c>
      <c r="J5" s="5" t="n">
        <v>665.947</v>
      </c>
      <c r="K5" s="5" t="n">
        <v>665.9450000000001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5394.507</v>
      </c>
      <c r="C6" s="8" t="n">
        <v>5396.992</v>
      </c>
      <c r="D6" s="8" t="n">
        <v>5394.368</v>
      </c>
      <c r="E6" s="8" t="n">
        <v>5396.347</v>
      </c>
      <c r="F6" s="8" t="n">
        <v>5389.872</v>
      </c>
      <c r="G6" s="8" t="n">
        <v>5571.875</v>
      </c>
      <c r="H6" s="8" t="n">
        <v>5573.116</v>
      </c>
      <c r="I6" s="8" t="n">
        <v>5571.215</v>
      </c>
      <c r="J6" s="8" t="n">
        <v>5396.298</v>
      </c>
      <c r="K6" s="8" t="n">
        <v>5392.705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50653.278</v>
      </c>
      <c r="C7" s="5" t="n">
        <v>50537.935</v>
      </c>
      <c r="D7" s="5" t="n">
        <v>50996.548</v>
      </c>
      <c r="E7" s="5" t="n">
        <v>51110.168</v>
      </c>
      <c r="F7" s="5" t="n">
        <v>51379.869</v>
      </c>
      <c r="G7" s="5" t="n">
        <v>51465.041</v>
      </c>
      <c r="H7" s="5" t="n">
        <v>50651.81</v>
      </c>
      <c r="I7" s="5" t="n">
        <v>51094.009</v>
      </c>
      <c r="J7" s="5" t="n">
        <v>51356.119</v>
      </c>
      <c r="K7" s="5" t="n">
        <v>51299.363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4 Hilos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5.396</v>
      </c>
      <c r="C3" s="5" t="n">
        <v>5.468</v>
      </c>
      <c r="D3" s="5" t="n">
        <v>5.421</v>
      </c>
      <c r="E3" s="5" t="n">
        <v>5.259</v>
      </c>
      <c r="F3" s="5" t="n">
        <v>5.407</v>
      </c>
      <c r="G3" s="5" t="n">
        <v>5.247</v>
      </c>
      <c r="H3" s="5" t="n">
        <v>5.271</v>
      </c>
      <c r="I3" s="5" t="n">
        <v>5.25</v>
      </c>
      <c r="J3" s="5" t="n">
        <v>5.512</v>
      </c>
      <c r="K3" s="5" t="n">
        <v>5.394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42.212</v>
      </c>
      <c r="C4" s="8" t="n">
        <v>42.756</v>
      </c>
      <c r="D4" s="8" t="n">
        <v>42.614</v>
      </c>
      <c r="E4" s="8" t="n">
        <v>41.866</v>
      </c>
      <c r="F4" s="8" t="n">
        <v>42.093</v>
      </c>
      <c r="G4" s="8" t="n">
        <v>41.801</v>
      </c>
      <c r="H4" s="8" t="n">
        <v>41.899</v>
      </c>
      <c r="I4" s="8" t="n">
        <v>42.383</v>
      </c>
      <c r="J4" s="8" t="n">
        <v>42.736</v>
      </c>
      <c r="K4" s="8" t="n">
        <v>41.893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337.15</v>
      </c>
      <c r="C5" s="5" t="n">
        <v>332.678</v>
      </c>
      <c r="D5" s="5" t="n">
        <v>338.871</v>
      </c>
      <c r="E5" s="5" t="n">
        <v>336.222</v>
      </c>
      <c r="F5" s="5" t="n">
        <v>339.04</v>
      </c>
      <c r="G5" s="5" t="n">
        <v>339.102</v>
      </c>
      <c r="H5" s="5" t="n">
        <v>338.59</v>
      </c>
      <c r="I5" s="5" t="n">
        <v>336.089</v>
      </c>
      <c r="J5" s="5" t="n">
        <v>338.941</v>
      </c>
      <c r="K5" s="5" t="n">
        <v>338.513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2756.375</v>
      </c>
      <c r="C6" s="8" t="n">
        <v>2684.698</v>
      </c>
      <c r="D6" s="8" t="n">
        <v>2756.906</v>
      </c>
      <c r="E6" s="8" t="n">
        <v>2742.937</v>
      </c>
      <c r="F6" s="8" t="n">
        <v>2750.635</v>
      </c>
      <c r="G6" s="8" t="n">
        <v>2758.239</v>
      </c>
      <c r="H6" s="8" t="n">
        <v>2756.61</v>
      </c>
      <c r="I6" s="8" t="n">
        <v>2749.697</v>
      </c>
      <c r="J6" s="8" t="n">
        <v>2756.923</v>
      </c>
      <c r="K6" s="8" t="n">
        <v>2746.566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25028.741</v>
      </c>
      <c r="C7" s="5" t="n">
        <v>25050.99</v>
      </c>
      <c r="D7" s="5" t="n">
        <v>25040.951</v>
      </c>
      <c r="E7" s="5" t="n">
        <v>25001.977</v>
      </c>
      <c r="F7" s="5" t="n">
        <v>25043.091</v>
      </c>
      <c r="G7" s="5" t="n">
        <v>25052.906</v>
      </c>
      <c r="H7" s="5" t="n">
        <v>24997.819</v>
      </c>
      <c r="I7" s="5" t="n">
        <v>25022.289</v>
      </c>
      <c r="J7" s="5" t="n">
        <v>25033.222</v>
      </c>
      <c r="K7" s="5" t="n">
        <v>25034.074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6 Hilos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3.749</v>
      </c>
      <c r="C3" s="5" t="n">
        <v>3.725</v>
      </c>
      <c r="D3" s="5" t="n">
        <v>3.728</v>
      </c>
      <c r="E3" s="5" t="n">
        <v>3.893</v>
      </c>
      <c r="F3" s="5" t="n">
        <v>3.745</v>
      </c>
      <c r="G3" s="5" t="n">
        <v>3.741</v>
      </c>
      <c r="H3" s="5" t="n">
        <v>3.739</v>
      </c>
      <c r="I3" s="5" t="n">
        <v>3.74</v>
      </c>
      <c r="J3" s="5" t="n">
        <v>3.737</v>
      </c>
      <c r="K3" s="5" t="n">
        <v>7.237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28.261</v>
      </c>
      <c r="C4" s="8" t="n">
        <v>28.432</v>
      </c>
      <c r="D4" s="8" t="n">
        <v>28.453</v>
      </c>
      <c r="E4" s="8" t="n">
        <v>28.516</v>
      </c>
      <c r="F4" s="8" t="n">
        <v>28.531</v>
      </c>
      <c r="G4" s="8" t="n">
        <v>28.468</v>
      </c>
      <c r="H4" s="8" t="n">
        <v>28.519</v>
      </c>
      <c r="I4" s="8" t="n">
        <v>28.402</v>
      </c>
      <c r="J4" s="8" t="n">
        <v>28.494</v>
      </c>
      <c r="K4" s="8" t="n">
        <v>28.583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224.853</v>
      </c>
      <c r="C5" s="5" t="n">
        <v>224.661</v>
      </c>
      <c r="D5" s="5" t="n">
        <v>224.738</v>
      </c>
      <c r="E5" s="5" t="n">
        <v>226.309</v>
      </c>
      <c r="F5" s="5" t="n">
        <v>229.12</v>
      </c>
      <c r="G5" s="5" t="n">
        <v>225.874</v>
      </c>
      <c r="H5" s="5" t="n">
        <v>225.475</v>
      </c>
      <c r="I5" s="5" t="n">
        <v>225.51</v>
      </c>
      <c r="J5" s="5" t="n">
        <v>229.026</v>
      </c>
      <c r="K5" s="5" t="n">
        <v>225.458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1843.925</v>
      </c>
      <c r="C6" s="8" t="n">
        <v>1843.261</v>
      </c>
      <c r="D6" s="8" t="n">
        <v>1843.075</v>
      </c>
      <c r="E6" s="8" t="n">
        <v>1839.793</v>
      </c>
      <c r="F6" s="8" t="n">
        <v>1827.554</v>
      </c>
      <c r="G6" s="8" t="n">
        <v>1843.078</v>
      </c>
      <c r="H6" s="8" t="n">
        <v>1866.88</v>
      </c>
      <c r="I6" s="8" t="n">
        <v>1888.741</v>
      </c>
      <c r="J6" s="8" t="n">
        <v>1842.038</v>
      </c>
      <c r="K6" s="8" t="n">
        <v>1846.854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17110.036</v>
      </c>
      <c r="C7" s="5" t="n">
        <v>17066.879</v>
      </c>
      <c r="D7" s="5" t="n">
        <v>17134.161</v>
      </c>
      <c r="E7" s="5" t="n">
        <v>17056.114</v>
      </c>
      <c r="F7" s="5" t="n">
        <v>16891.73</v>
      </c>
      <c r="G7" s="5" t="n">
        <v>16914.49</v>
      </c>
      <c r="H7" s="5" t="n">
        <v>17101.799</v>
      </c>
      <c r="I7" s="5" t="n">
        <v>16846.873</v>
      </c>
      <c r="J7" s="5" t="n">
        <v>16979.873</v>
      </c>
      <c r="K7" s="5" t="n">
        <v>17097.149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8 Hilos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5.252</v>
      </c>
      <c r="C3" s="5" t="n">
        <v>5.263</v>
      </c>
      <c r="D3" s="5" t="n">
        <v>5.409</v>
      </c>
      <c r="E3" s="5" t="n">
        <v>5.361</v>
      </c>
      <c r="F3" s="5" t="n">
        <v>5.375</v>
      </c>
      <c r="G3" s="5" t="n">
        <v>5.276</v>
      </c>
      <c r="H3" s="5" t="n">
        <v>5.25</v>
      </c>
      <c r="I3" s="5" t="n">
        <v>5.269</v>
      </c>
      <c r="J3" s="5" t="n">
        <v>5.279</v>
      </c>
      <c r="K3" s="5" t="n">
        <v>5.264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41.802</v>
      </c>
      <c r="C4" s="8" t="n">
        <v>41.837</v>
      </c>
      <c r="D4" s="8" t="n">
        <v>41.811</v>
      </c>
      <c r="E4" s="8" t="n">
        <v>41.816</v>
      </c>
      <c r="F4" s="8" t="n">
        <v>41.833</v>
      </c>
      <c r="G4" s="8" t="n">
        <v>41.857</v>
      </c>
      <c r="H4" s="8" t="n">
        <v>41.917</v>
      </c>
      <c r="I4" s="8" t="n">
        <v>41.98</v>
      </c>
      <c r="J4" s="8" t="n">
        <v>41.806</v>
      </c>
      <c r="K4" s="8" t="n">
        <v>42.032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333.056</v>
      </c>
      <c r="C5" s="5" t="n">
        <v>332.768</v>
      </c>
      <c r="D5" s="5" t="n">
        <v>332.59</v>
      </c>
      <c r="E5" s="5" t="n">
        <v>332.727</v>
      </c>
      <c r="F5" s="5" t="n">
        <v>332.834</v>
      </c>
      <c r="G5" s="5" t="n">
        <v>332.717</v>
      </c>
      <c r="H5" s="5" t="n">
        <v>332.776</v>
      </c>
      <c r="I5" s="5" t="n">
        <v>332.669</v>
      </c>
      <c r="J5" s="5" t="n">
        <v>332.622</v>
      </c>
      <c r="K5" s="5" t="n">
        <v>332.629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2689.3</v>
      </c>
      <c r="C6" s="8" t="n">
        <v>2690.99</v>
      </c>
      <c r="D6" s="8" t="n">
        <v>2688.088</v>
      </c>
      <c r="E6" s="8" t="n">
        <v>2688.628</v>
      </c>
      <c r="F6" s="8" t="n">
        <v>2688.581</v>
      </c>
      <c r="G6" s="8" t="n">
        <v>2688.191</v>
      </c>
      <c r="H6" s="8" t="n">
        <v>2692.747</v>
      </c>
      <c r="I6" s="8" t="n">
        <v>2690.613</v>
      </c>
      <c r="J6" s="8" t="n">
        <v>2689.313</v>
      </c>
      <c r="K6" s="8" t="n">
        <v>2688.137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25544.36</v>
      </c>
      <c r="C7" s="5" t="n">
        <v>25442.366</v>
      </c>
      <c r="D7" s="5" t="n">
        <v>25163.727</v>
      </c>
      <c r="E7" s="5" t="n">
        <v>25212.577</v>
      </c>
      <c r="F7" s="5" t="n">
        <v>25226.005</v>
      </c>
      <c r="G7" s="5" t="n">
        <v>25217.182</v>
      </c>
      <c r="H7" s="5" t="n">
        <v>25165.797</v>
      </c>
      <c r="I7" s="5" t="n">
        <v>25186.547</v>
      </c>
      <c r="J7" s="5" t="n">
        <v>25187.951</v>
      </c>
      <c r="K7" s="5" t="n">
        <v>25191.988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12 Hilos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3.88</v>
      </c>
      <c r="C3" s="5" t="n">
        <v>3.853</v>
      </c>
      <c r="D3" s="5" t="n">
        <v>3.816</v>
      </c>
      <c r="E3" s="5" t="n">
        <v>3.831</v>
      </c>
      <c r="F3" s="5" t="n">
        <v>3.852</v>
      </c>
      <c r="G3" s="5" t="n">
        <v>3.847</v>
      </c>
      <c r="H3" s="5" t="n">
        <v>3.854</v>
      </c>
      <c r="I3" s="5" t="n">
        <v>3.84</v>
      </c>
      <c r="J3" s="5" t="n">
        <v>4.794</v>
      </c>
      <c r="K3" s="5" t="n">
        <v>3.869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29.727</v>
      </c>
      <c r="C4" s="8" t="n">
        <v>29.615</v>
      </c>
      <c r="D4" s="8" t="n">
        <v>29.495</v>
      </c>
      <c r="E4" s="8" t="n">
        <v>29.495</v>
      </c>
      <c r="F4" s="8" t="n">
        <v>29.521</v>
      </c>
      <c r="G4" s="8" t="n">
        <v>29.587</v>
      </c>
      <c r="H4" s="8" t="n">
        <v>29.563</v>
      </c>
      <c r="I4" s="8" t="n">
        <v>29.489</v>
      </c>
      <c r="J4" s="8" t="n">
        <v>29.781</v>
      </c>
      <c r="K4" s="8" t="n">
        <v>29.674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226.261</v>
      </c>
      <c r="C5" s="5" t="n">
        <v>226.569</v>
      </c>
      <c r="D5" s="5" t="n">
        <v>226.579</v>
      </c>
      <c r="E5" s="5" t="n">
        <v>226.852</v>
      </c>
      <c r="F5" s="5" t="n">
        <v>226.416</v>
      </c>
      <c r="G5" s="5" t="n">
        <v>226.289</v>
      </c>
      <c r="H5" s="5" t="n">
        <v>227.019</v>
      </c>
      <c r="I5" s="5" t="n">
        <v>226.394</v>
      </c>
      <c r="J5" s="5" t="n">
        <v>226.329</v>
      </c>
      <c r="K5" s="5" t="n">
        <v>226.376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1842.968</v>
      </c>
      <c r="C6" s="8" t="n">
        <v>1835.944</v>
      </c>
      <c r="D6" s="8" t="n">
        <v>1841.664</v>
      </c>
      <c r="E6" s="8" t="n">
        <v>1841.887</v>
      </c>
      <c r="F6" s="8" t="n">
        <v>1840.859</v>
      </c>
      <c r="G6" s="8" t="n">
        <v>1838.709</v>
      </c>
      <c r="H6" s="8" t="n">
        <v>1835.813</v>
      </c>
      <c r="I6" s="8" t="n">
        <v>1885.088</v>
      </c>
      <c r="J6" s="8" t="n">
        <v>1861.609</v>
      </c>
      <c r="K6" s="8" t="n">
        <v>1845.701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17092.105</v>
      </c>
      <c r="C7" s="5" t="n">
        <v>17022.115</v>
      </c>
      <c r="D7" s="5" t="n">
        <v>17201.725</v>
      </c>
      <c r="E7" s="5" t="n">
        <v>16885.791</v>
      </c>
      <c r="F7" s="5" t="n">
        <v>17080.643</v>
      </c>
      <c r="G7" s="5" t="n">
        <v>16948.101</v>
      </c>
      <c r="H7" s="5" t="n">
        <v>17067.447</v>
      </c>
      <c r="I7" s="5" t="n">
        <v>16919.753</v>
      </c>
      <c r="J7" s="5" t="n">
        <v>16993.182</v>
      </c>
      <c r="K7" s="5" t="n">
        <v>16873.415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Multiplicación de Matrices  |  Procesos</t>
        </is>
      </c>
    </row>
    <row r="2" ht="22" customHeight="1">
      <c r="A2" s="2" t="inlineStr">
        <is>
          <t>Dimensión (N)</t>
        </is>
      </c>
      <c r="B2" s="3" t="inlineStr">
        <is>
          <t>Rep 1</t>
        </is>
      </c>
      <c r="C2" s="3" t="inlineStr">
        <is>
          <t>Rep 2</t>
        </is>
      </c>
      <c r="D2" s="3" t="inlineStr">
        <is>
          <t>Rep 3</t>
        </is>
      </c>
      <c r="E2" s="3" t="inlineStr">
        <is>
          <t>Rep 4</t>
        </is>
      </c>
      <c r="F2" s="3" t="inlineStr">
        <is>
          <t>Rep 5</t>
        </is>
      </c>
      <c r="G2" s="3" t="inlineStr">
        <is>
          <t>Rep 6</t>
        </is>
      </c>
      <c r="H2" s="3" t="inlineStr">
        <is>
          <t>Rep 7</t>
        </is>
      </c>
      <c r="I2" s="3" t="inlineStr">
        <is>
          <t>Rep 8</t>
        </is>
      </c>
      <c r="J2" s="3" t="inlineStr">
        <is>
          <t>Rep 9</t>
        </is>
      </c>
      <c r="K2" s="3" t="inlineStr">
        <is>
          <t>Rep 10</t>
        </is>
      </c>
      <c r="L2" s="3" t="inlineStr">
        <is>
          <t>Promedio (ms)</t>
        </is>
      </c>
      <c r="M2" s="3" t="inlineStr">
        <is>
          <t>Speedup</t>
        </is>
      </c>
    </row>
    <row r="3">
      <c r="A3" s="4" t="inlineStr">
        <is>
          <t>400 x 400</t>
        </is>
      </c>
      <c r="B3" s="5" t="n">
        <v>4.076</v>
      </c>
      <c r="C3" s="5" t="n">
        <v>4.064</v>
      </c>
      <c r="D3" s="5" t="n">
        <v>4.096</v>
      </c>
      <c r="E3" s="5" t="n">
        <v>4.052</v>
      </c>
      <c r="F3" s="5" t="n">
        <v>4.088</v>
      </c>
      <c r="G3" s="5" t="n">
        <v>4.077</v>
      </c>
      <c r="H3" s="5" t="n">
        <v>4.258</v>
      </c>
      <c r="I3" s="5" t="n">
        <v>4.081</v>
      </c>
      <c r="J3" s="5" t="n">
        <v>4.446</v>
      </c>
      <c r="K3" s="5" t="n">
        <v>4.08</v>
      </c>
      <c r="L3" s="6">
        <f>AVERAGE(B3:K3)</f>
        <v/>
      </c>
      <c r="M3" s="7" t="inlineStr">
        <is>
          <t>Sin datos seq.</t>
        </is>
      </c>
    </row>
    <row r="4">
      <c r="A4" s="4" t="inlineStr">
        <is>
          <t>800 x 800</t>
        </is>
      </c>
      <c r="B4" s="8" t="n">
        <v>29.821</v>
      </c>
      <c r="C4" s="8" t="n">
        <v>29.358</v>
      </c>
      <c r="D4" s="8" t="n">
        <v>29.347</v>
      </c>
      <c r="E4" s="8" t="n">
        <v>29.828</v>
      </c>
      <c r="F4" s="8" t="n">
        <v>29.143</v>
      </c>
      <c r="G4" s="8" t="n">
        <v>29.381</v>
      </c>
      <c r="H4" s="8" t="n">
        <v>29.927</v>
      </c>
      <c r="I4" s="8" t="n">
        <v>29.365</v>
      </c>
      <c r="J4" s="8" t="n">
        <v>29.371</v>
      </c>
      <c r="K4" s="8" t="n">
        <v>29.302</v>
      </c>
      <c r="L4" s="6">
        <f>AVERAGE(B4:K4)</f>
        <v/>
      </c>
      <c r="M4" s="7" t="inlineStr">
        <is>
          <t>Sin datos seq.</t>
        </is>
      </c>
    </row>
    <row r="5">
      <c r="A5" s="4" t="inlineStr">
        <is>
          <t>1600 x 1600</t>
        </is>
      </c>
      <c r="B5" s="5" t="n">
        <v>227.752</v>
      </c>
      <c r="C5" s="5" t="n">
        <v>227.242</v>
      </c>
      <c r="D5" s="5" t="n">
        <v>228.041</v>
      </c>
      <c r="E5" s="5" t="n">
        <v>229.653</v>
      </c>
      <c r="F5" s="5" t="n">
        <v>227.62</v>
      </c>
      <c r="G5" s="5" t="n">
        <v>227.796</v>
      </c>
      <c r="H5" s="5" t="n">
        <v>227.519</v>
      </c>
      <c r="I5" s="5" t="n">
        <v>227.524</v>
      </c>
      <c r="J5" s="5" t="n">
        <v>227.419</v>
      </c>
      <c r="K5" s="5" t="n">
        <v>227.299</v>
      </c>
      <c r="L5" s="6">
        <f>AVERAGE(B5:K5)</f>
        <v/>
      </c>
      <c r="M5" s="7" t="inlineStr">
        <is>
          <t>Sin datos seq.</t>
        </is>
      </c>
    </row>
    <row r="6">
      <c r="A6" s="4" t="inlineStr">
        <is>
          <t>3200 x 3200</t>
        </is>
      </c>
      <c r="B6" s="8" t="n">
        <v>1906.286</v>
      </c>
      <c r="C6" s="8" t="n">
        <v>1858.34</v>
      </c>
      <c r="D6" s="8" t="n">
        <v>1851.641</v>
      </c>
      <c r="E6" s="8" t="n">
        <v>1852.619</v>
      </c>
      <c r="F6" s="8" t="n">
        <v>1866.731</v>
      </c>
      <c r="G6" s="8" t="n">
        <v>1864.661</v>
      </c>
      <c r="H6" s="8" t="n">
        <v>1854.427</v>
      </c>
      <c r="I6" s="8" t="n">
        <v>1851.568</v>
      </c>
      <c r="J6" s="8" t="n">
        <v>1857.853</v>
      </c>
      <c r="K6" s="8" t="n">
        <v>1900.394</v>
      </c>
      <c r="L6" s="6">
        <f>AVERAGE(B6:K6)</f>
        <v/>
      </c>
      <c r="M6" s="7" t="inlineStr">
        <is>
          <t>Sin datos seq.</t>
        </is>
      </c>
    </row>
    <row r="7">
      <c r="A7" s="4" t="inlineStr">
        <is>
          <t>6400 x 6400</t>
        </is>
      </c>
      <c r="B7" s="5" t="n">
        <v>17179.518</v>
      </c>
      <c r="C7" s="5" t="n">
        <v>17128.94</v>
      </c>
      <c r="D7" s="5" t="n">
        <v>17206.619</v>
      </c>
      <c r="E7" s="5" t="n">
        <v>17126.883</v>
      </c>
      <c r="F7" s="5" t="n">
        <v>17169.981</v>
      </c>
      <c r="G7" s="5" t="n">
        <v>17152.056</v>
      </c>
      <c r="H7" s="5" t="n">
        <v>17120.707</v>
      </c>
      <c r="I7" s="5" t="n">
        <v>17274.756</v>
      </c>
      <c r="J7" s="5" t="n">
        <v>17171.157</v>
      </c>
      <c r="K7" s="5" t="n">
        <v>17056.423</v>
      </c>
      <c r="L7" s="6">
        <f>AVERAGE(B7:K7)</f>
        <v/>
      </c>
      <c r="M7" s="7" t="inlineStr">
        <is>
          <t>Sin datos seq.</t>
        </is>
      </c>
    </row>
  </sheetData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8" customHeight="1">
      <c r="A1" s="1" t="inlineStr">
        <is>
          <t>Resumen comparativo  |  Multiplicación de Matrices HPC</t>
        </is>
      </c>
    </row>
    <row r="2" ht="32" customHeight="1">
      <c r="A2" s="9" t="inlineStr">
        <is>
          <t>Dimensión (N)</t>
        </is>
      </c>
      <c r="B2" s="10" t="inlineStr">
        <is>
          <t>Secuencial
Promedio (ms)</t>
        </is>
      </c>
      <c r="C2" s="10" t="inlineStr">
        <is>
          <t>Secuencial
Speedup</t>
        </is>
      </c>
      <c r="D2" s="10" t="inlineStr">
        <is>
          <t>2 Hilos
Promedio (ms)</t>
        </is>
      </c>
      <c r="E2" s="10" t="inlineStr">
        <is>
          <t>2 Hilos
Speedup</t>
        </is>
      </c>
      <c r="F2" s="10" t="inlineStr">
        <is>
          <t>4 Hilos
Promedio (ms)</t>
        </is>
      </c>
      <c r="G2" s="10" t="inlineStr">
        <is>
          <t>4 Hilos
Speedup</t>
        </is>
      </c>
      <c r="H2" s="10" t="inlineStr">
        <is>
          <t>6 Hilos
Promedio (ms)</t>
        </is>
      </c>
      <c r="I2" s="10" t="inlineStr">
        <is>
          <t>6 Hilos
Speedup</t>
        </is>
      </c>
      <c r="J2" s="10" t="inlineStr">
        <is>
          <t>8 Hilos
Promedio (ms)</t>
        </is>
      </c>
      <c r="K2" s="10" t="inlineStr">
        <is>
          <t>8 Hilos
Speedup</t>
        </is>
      </c>
      <c r="L2" s="10" t="inlineStr">
        <is>
          <t>12 Hilos
Promedio (ms)</t>
        </is>
      </c>
      <c r="M2" s="10" t="inlineStr">
        <is>
          <t>12 Hilos
Speedup</t>
        </is>
      </c>
      <c r="N2" s="10" t="inlineStr">
        <is>
          <t>Procesos
Promedio (ms)</t>
        </is>
      </c>
      <c r="O2" s="10" t="inlineStr">
        <is>
          <t>Procesos
Speedup</t>
        </is>
      </c>
    </row>
    <row r="3">
      <c r="A3" s="4" t="inlineStr">
        <is>
          <t>400 x 400</t>
        </is>
      </c>
      <c r="B3" s="5">
        <f>IFERROR('Secuencial'!L3, "N/D")</f>
        <v/>
      </c>
      <c r="C3" s="11">
        <f>IFERROR('Secuencial'!M3, "N/D")</f>
        <v/>
      </c>
      <c r="D3" s="5">
        <f>IFERROR('2 Hilos'!L3, "N/D")</f>
        <v/>
      </c>
      <c r="E3" s="11">
        <f>IFERROR('2 Hilos'!M3, "N/D")</f>
        <v/>
      </c>
      <c r="F3" s="5">
        <f>IFERROR('4 Hilos'!L3, "N/D")</f>
        <v/>
      </c>
      <c r="G3" s="11">
        <f>IFERROR('4 Hilos'!M3, "N/D")</f>
        <v/>
      </c>
      <c r="H3" s="5">
        <f>IFERROR('6 Hilos'!L3, "N/D")</f>
        <v/>
      </c>
      <c r="I3" s="11">
        <f>IFERROR('6 Hilos'!M3, "N/D")</f>
        <v/>
      </c>
      <c r="J3" s="5">
        <f>IFERROR('8 Hilos'!L3, "N/D")</f>
        <v/>
      </c>
      <c r="K3" s="11">
        <f>IFERROR('8 Hilos'!M3, "N/D")</f>
        <v/>
      </c>
      <c r="L3" s="5">
        <f>IFERROR('12 Hilos'!L3, "N/D")</f>
        <v/>
      </c>
      <c r="M3" s="11">
        <f>IFERROR('12 Hilos'!M3, "N/D")</f>
        <v/>
      </c>
      <c r="N3" s="5">
        <f>IFERROR('Procesos'!L3, "N/D")</f>
        <v/>
      </c>
      <c r="O3" s="11">
        <f>IFERROR('Procesos'!M3, "N/D")</f>
        <v/>
      </c>
    </row>
    <row r="4">
      <c r="A4" s="4" t="inlineStr">
        <is>
          <t>800 x 800</t>
        </is>
      </c>
      <c r="B4" s="8">
        <f>IFERROR('Secuencial'!L4, "N/D")</f>
        <v/>
      </c>
      <c r="C4" s="12">
        <f>IFERROR('Secuencial'!M4, "N/D")</f>
        <v/>
      </c>
      <c r="D4" s="8">
        <f>IFERROR('2 Hilos'!L4, "N/D")</f>
        <v/>
      </c>
      <c r="E4" s="12">
        <f>IFERROR('2 Hilos'!M4, "N/D")</f>
        <v/>
      </c>
      <c r="F4" s="8">
        <f>IFERROR('4 Hilos'!L4, "N/D")</f>
        <v/>
      </c>
      <c r="G4" s="12">
        <f>IFERROR('4 Hilos'!M4, "N/D")</f>
        <v/>
      </c>
      <c r="H4" s="8">
        <f>IFERROR('6 Hilos'!L4, "N/D")</f>
        <v/>
      </c>
      <c r="I4" s="12">
        <f>IFERROR('6 Hilos'!M4, "N/D")</f>
        <v/>
      </c>
      <c r="J4" s="8">
        <f>IFERROR('8 Hilos'!L4, "N/D")</f>
        <v/>
      </c>
      <c r="K4" s="12">
        <f>IFERROR('8 Hilos'!M4, "N/D")</f>
        <v/>
      </c>
      <c r="L4" s="8">
        <f>IFERROR('12 Hilos'!L4, "N/D")</f>
        <v/>
      </c>
      <c r="M4" s="12">
        <f>IFERROR('12 Hilos'!M4, "N/D")</f>
        <v/>
      </c>
      <c r="N4" s="8">
        <f>IFERROR('Procesos'!L4, "N/D")</f>
        <v/>
      </c>
      <c r="O4" s="12">
        <f>IFERROR('Procesos'!M4, "N/D")</f>
        <v/>
      </c>
    </row>
    <row r="5">
      <c r="A5" s="4" t="inlineStr">
        <is>
          <t>1600 x 1600</t>
        </is>
      </c>
      <c r="B5" s="5">
        <f>IFERROR('Secuencial'!L5, "N/D")</f>
        <v/>
      </c>
      <c r="C5" s="11">
        <f>IFERROR('Secuencial'!M5, "N/D")</f>
        <v/>
      </c>
      <c r="D5" s="5">
        <f>IFERROR('2 Hilos'!L5, "N/D")</f>
        <v/>
      </c>
      <c r="E5" s="11">
        <f>IFERROR('2 Hilos'!M5, "N/D")</f>
        <v/>
      </c>
      <c r="F5" s="5">
        <f>IFERROR('4 Hilos'!L5, "N/D")</f>
        <v/>
      </c>
      <c r="G5" s="11">
        <f>IFERROR('4 Hilos'!M5, "N/D")</f>
        <v/>
      </c>
      <c r="H5" s="5">
        <f>IFERROR('6 Hilos'!L5, "N/D")</f>
        <v/>
      </c>
      <c r="I5" s="11">
        <f>IFERROR('6 Hilos'!M5, "N/D")</f>
        <v/>
      </c>
      <c r="J5" s="5">
        <f>IFERROR('8 Hilos'!L5, "N/D")</f>
        <v/>
      </c>
      <c r="K5" s="11">
        <f>IFERROR('8 Hilos'!M5, "N/D")</f>
        <v/>
      </c>
      <c r="L5" s="5">
        <f>IFERROR('12 Hilos'!L5, "N/D")</f>
        <v/>
      </c>
      <c r="M5" s="11">
        <f>IFERROR('12 Hilos'!M5, "N/D")</f>
        <v/>
      </c>
      <c r="N5" s="5">
        <f>IFERROR('Procesos'!L5, "N/D")</f>
        <v/>
      </c>
      <c r="O5" s="11">
        <f>IFERROR('Procesos'!M5, "N/D")</f>
        <v/>
      </c>
    </row>
    <row r="6">
      <c r="A6" s="4" t="inlineStr">
        <is>
          <t>3200 x 3200</t>
        </is>
      </c>
      <c r="B6" s="8">
        <f>IFERROR('Secuencial'!L6, "N/D")</f>
        <v/>
      </c>
      <c r="C6" s="12">
        <f>IFERROR('Secuencial'!M6, "N/D")</f>
        <v/>
      </c>
      <c r="D6" s="8">
        <f>IFERROR('2 Hilos'!L6, "N/D")</f>
        <v/>
      </c>
      <c r="E6" s="12">
        <f>IFERROR('2 Hilos'!M6, "N/D")</f>
        <v/>
      </c>
      <c r="F6" s="8">
        <f>IFERROR('4 Hilos'!L6, "N/D")</f>
        <v/>
      </c>
      <c r="G6" s="12">
        <f>IFERROR('4 Hilos'!M6, "N/D")</f>
        <v/>
      </c>
      <c r="H6" s="8">
        <f>IFERROR('6 Hilos'!L6, "N/D")</f>
        <v/>
      </c>
      <c r="I6" s="12">
        <f>IFERROR('6 Hilos'!M6, "N/D")</f>
        <v/>
      </c>
      <c r="J6" s="8">
        <f>IFERROR('8 Hilos'!L6, "N/D")</f>
        <v/>
      </c>
      <c r="K6" s="12">
        <f>IFERROR('8 Hilos'!M6, "N/D")</f>
        <v/>
      </c>
      <c r="L6" s="8">
        <f>IFERROR('12 Hilos'!L6, "N/D")</f>
        <v/>
      </c>
      <c r="M6" s="12">
        <f>IFERROR('12 Hilos'!M6, "N/D")</f>
        <v/>
      </c>
      <c r="N6" s="8">
        <f>IFERROR('Procesos'!L6, "N/D")</f>
        <v/>
      </c>
      <c r="O6" s="12">
        <f>IFERROR('Procesos'!M6, "N/D")</f>
        <v/>
      </c>
    </row>
    <row r="7">
      <c r="A7" s="4" t="inlineStr">
        <is>
          <t>6400 x 6400</t>
        </is>
      </c>
      <c r="B7" s="5">
        <f>IFERROR('Secuencial'!L7, "N/D")</f>
        <v/>
      </c>
      <c r="C7" s="11">
        <f>IFERROR('Secuencial'!M7, "N/D")</f>
        <v/>
      </c>
      <c r="D7" s="5">
        <f>IFERROR('2 Hilos'!L7, "N/D")</f>
        <v/>
      </c>
      <c r="E7" s="11">
        <f>IFERROR('2 Hilos'!M7, "N/D")</f>
        <v/>
      </c>
      <c r="F7" s="5">
        <f>IFERROR('4 Hilos'!L7, "N/D")</f>
        <v/>
      </c>
      <c r="G7" s="11">
        <f>IFERROR('4 Hilos'!M7, "N/D")</f>
        <v/>
      </c>
      <c r="H7" s="5">
        <f>IFERROR('6 Hilos'!L7, "N/D")</f>
        <v/>
      </c>
      <c r="I7" s="11">
        <f>IFERROR('6 Hilos'!M7, "N/D")</f>
        <v/>
      </c>
      <c r="J7" s="5">
        <f>IFERROR('8 Hilos'!L7, "N/D")</f>
        <v/>
      </c>
      <c r="K7" s="11">
        <f>IFERROR('8 Hilos'!M7, "N/D")</f>
        <v/>
      </c>
      <c r="L7" s="5">
        <f>IFERROR('12 Hilos'!L7, "N/D")</f>
        <v/>
      </c>
      <c r="M7" s="11">
        <f>IFERROR('12 Hilos'!M7, "N/D")</f>
        <v/>
      </c>
      <c r="N7" s="5">
        <f>IFERROR('Procesos'!L7, "N/D")</f>
        <v/>
      </c>
      <c r="O7" s="11">
        <f>IFERROR('Procesos'!M7, "N/D")</f>
        <v/>
      </c>
    </row>
  </sheetData>
  <mergeCells count="1"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Tabla auxiliar para gráficas</t>
        </is>
      </c>
    </row>
    <row r="2">
      <c r="A2" t="inlineStr">
        <is>
          <t>Dimensión</t>
        </is>
      </c>
      <c r="B2" s="14" t="inlineStr">
        <is>
          <t>Secuencial</t>
        </is>
      </c>
      <c r="C2" s="14" t="inlineStr">
        <is>
          <t>2 Hilos</t>
        </is>
      </c>
      <c r="D2" s="14" t="inlineStr">
        <is>
          <t>4 Hilos</t>
        </is>
      </c>
      <c r="E2" s="14" t="inlineStr">
        <is>
          <t>6 Hilos</t>
        </is>
      </c>
      <c r="F2" s="14" t="inlineStr">
        <is>
          <t>8 Hilos</t>
        </is>
      </c>
      <c r="G2" s="14" t="inlineStr">
        <is>
          <t>12 Hilos</t>
        </is>
      </c>
      <c r="H2" s="14" t="inlineStr">
        <is>
          <t>Procesos</t>
        </is>
      </c>
    </row>
    <row r="3">
      <c r="A3" t="n">
        <v>400</v>
      </c>
      <c r="B3">
        <f>IFERROR(Resumen!B3, 0)</f>
        <v/>
      </c>
      <c r="C3">
        <f>IFERROR(Resumen!D3, 0)</f>
        <v/>
      </c>
      <c r="D3">
        <f>IFERROR(Resumen!F3, 0)</f>
        <v/>
      </c>
      <c r="E3">
        <f>IFERROR(Resumen!H3, 0)</f>
        <v/>
      </c>
      <c r="F3">
        <f>IFERROR(Resumen!J3, 0)</f>
        <v/>
      </c>
      <c r="G3">
        <f>IFERROR(Resumen!L3, 0)</f>
        <v/>
      </c>
      <c r="H3">
        <f>IFERROR(Resumen!N3, 0)</f>
        <v/>
      </c>
    </row>
    <row r="4">
      <c r="A4" t="n">
        <v>800</v>
      </c>
      <c r="B4">
        <f>IFERROR(Resumen!B4, 0)</f>
        <v/>
      </c>
      <c r="C4">
        <f>IFERROR(Resumen!D4, 0)</f>
        <v/>
      </c>
      <c r="D4">
        <f>IFERROR(Resumen!F4, 0)</f>
        <v/>
      </c>
      <c r="E4">
        <f>IFERROR(Resumen!H4, 0)</f>
        <v/>
      </c>
      <c r="F4">
        <f>IFERROR(Resumen!J4, 0)</f>
        <v/>
      </c>
      <c r="G4">
        <f>IFERROR(Resumen!L4, 0)</f>
        <v/>
      </c>
      <c r="H4">
        <f>IFERROR(Resumen!N4, 0)</f>
        <v/>
      </c>
    </row>
    <row r="5">
      <c r="A5" t="n">
        <v>1600</v>
      </c>
      <c r="B5">
        <f>IFERROR(Resumen!B5, 0)</f>
        <v/>
      </c>
      <c r="C5">
        <f>IFERROR(Resumen!D5, 0)</f>
        <v/>
      </c>
      <c r="D5">
        <f>IFERROR(Resumen!F5, 0)</f>
        <v/>
      </c>
      <c r="E5">
        <f>IFERROR(Resumen!H5, 0)</f>
        <v/>
      </c>
      <c r="F5">
        <f>IFERROR(Resumen!J5, 0)</f>
        <v/>
      </c>
      <c r="G5">
        <f>IFERROR(Resumen!L5, 0)</f>
        <v/>
      </c>
      <c r="H5">
        <f>IFERROR(Resumen!N5, 0)</f>
        <v/>
      </c>
    </row>
    <row r="6">
      <c r="A6" t="n">
        <v>3200</v>
      </c>
      <c r="B6">
        <f>IFERROR(Resumen!B6, 0)</f>
        <v/>
      </c>
      <c r="C6">
        <f>IFERROR(Resumen!D6, 0)</f>
        <v/>
      </c>
      <c r="D6">
        <f>IFERROR(Resumen!F6, 0)</f>
        <v/>
      </c>
      <c r="E6">
        <f>IFERROR(Resumen!H6, 0)</f>
        <v/>
      </c>
      <c r="F6">
        <f>IFERROR(Resumen!J6, 0)</f>
        <v/>
      </c>
      <c r="G6">
        <f>IFERROR(Resumen!L6, 0)</f>
        <v/>
      </c>
      <c r="H6">
        <f>IFERROR(Resumen!N6, 0)</f>
        <v/>
      </c>
    </row>
    <row r="7">
      <c r="A7" t="n">
        <v>6400</v>
      </c>
      <c r="B7">
        <f>IFERROR(Resumen!B7, 0)</f>
        <v/>
      </c>
      <c r="C7">
        <f>IFERROR(Resumen!D7, 0)</f>
        <v/>
      </c>
      <c r="D7">
        <f>IFERROR(Resumen!F7, 0)</f>
        <v/>
      </c>
      <c r="E7">
        <f>IFERROR(Resumen!H7, 0)</f>
        <v/>
      </c>
      <c r="F7">
        <f>IFERROR(Resumen!J7, 0)</f>
        <v/>
      </c>
      <c r="G7">
        <f>IFERROR(Resumen!L7, 0)</f>
        <v/>
      </c>
      <c r="H7">
        <f>IFERROR(Resumen!N7, 0)</f>
        <v/>
      </c>
    </row>
    <row r="10">
      <c r="A10" s="14" t="inlineStr">
        <is>
          <t>Dimensión</t>
        </is>
      </c>
      <c r="C10" s="14" t="inlineStr">
        <is>
          <t>2 Hilos</t>
        </is>
      </c>
      <c r="D10" s="14" t="inlineStr">
        <is>
          <t>4 Hilos</t>
        </is>
      </c>
      <c r="E10" s="14" t="inlineStr">
        <is>
          <t>6 Hilos</t>
        </is>
      </c>
      <c r="F10" s="14" t="inlineStr">
        <is>
          <t>8 Hilos</t>
        </is>
      </c>
      <c r="G10" s="14" t="inlineStr">
        <is>
          <t>12 Hilos</t>
        </is>
      </c>
      <c r="H10" s="14" t="inlineStr">
        <is>
          <t>Procesos</t>
        </is>
      </c>
    </row>
    <row r="11">
      <c r="A11" t="n">
        <v>400</v>
      </c>
      <c r="B11">
        <f>IFERROR(Resumen!C3, 0)</f>
        <v/>
      </c>
      <c r="C11">
        <f>IFERROR(Resumen!E3, 0)</f>
        <v/>
      </c>
      <c r="D11">
        <f>IFERROR(Resumen!G3, 0)</f>
        <v/>
      </c>
      <c r="E11">
        <f>IFERROR(Resumen!I3, 0)</f>
        <v/>
      </c>
      <c r="F11">
        <f>IFERROR(Resumen!K3, 0)</f>
        <v/>
      </c>
      <c r="G11">
        <f>IFERROR(Resumen!M3, 0)</f>
        <v/>
      </c>
      <c r="H11">
        <f>IFERROR(Resumen!O3, 0)</f>
        <v/>
      </c>
    </row>
    <row r="12">
      <c r="A12" t="n">
        <v>800</v>
      </c>
      <c r="B12">
        <f>IFERROR(Resumen!C4, 0)</f>
        <v/>
      </c>
      <c r="C12">
        <f>IFERROR(Resumen!E4, 0)</f>
        <v/>
      </c>
      <c r="D12">
        <f>IFERROR(Resumen!G4, 0)</f>
        <v/>
      </c>
      <c r="E12">
        <f>IFERROR(Resumen!I4, 0)</f>
        <v/>
      </c>
      <c r="F12">
        <f>IFERROR(Resumen!K4, 0)</f>
        <v/>
      </c>
      <c r="G12">
        <f>IFERROR(Resumen!M4, 0)</f>
        <v/>
      </c>
      <c r="H12">
        <f>IFERROR(Resumen!O4, 0)</f>
        <v/>
      </c>
    </row>
    <row r="13">
      <c r="A13" t="n">
        <v>1600</v>
      </c>
      <c r="B13">
        <f>IFERROR(Resumen!C5, 0)</f>
        <v/>
      </c>
      <c r="C13">
        <f>IFERROR(Resumen!E5, 0)</f>
        <v/>
      </c>
      <c r="D13">
        <f>IFERROR(Resumen!G5, 0)</f>
        <v/>
      </c>
      <c r="E13">
        <f>IFERROR(Resumen!I5, 0)</f>
        <v/>
      </c>
      <c r="F13">
        <f>IFERROR(Resumen!K5, 0)</f>
        <v/>
      </c>
      <c r="G13">
        <f>IFERROR(Resumen!M5, 0)</f>
        <v/>
      </c>
      <c r="H13">
        <f>IFERROR(Resumen!O5, 0)</f>
        <v/>
      </c>
    </row>
    <row r="14">
      <c r="A14" t="n">
        <v>3200</v>
      </c>
      <c r="B14">
        <f>IFERROR(Resumen!C6, 0)</f>
        <v/>
      </c>
      <c r="C14">
        <f>IFERROR(Resumen!E6, 0)</f>
        <v/>
      </c>
      <c r="D14">
        <f>IFERROR(Resumen!G6, 0)</f>
        <v/>
      </c>
      <c r="E14">
        <f>IFERROR(Resumen!I6, 0)</f>
        <v/>
      </c>
      <c r="F14">
        <f>IFERROR(Resumen!K6, 0)</f>
        <v/>
      </c>
      <c r="G14">
        <f>IFERROR(Resumen!M6, 0)</f>
        <v/>
      </c>
      <c r="H14">
        <f>IFERROR(Resumen!O6, 0)</f>
        <v/>
      </c>
    </row>
    <row r="15">
      <c r="A15" t="n">
        <v>6400</v>
      </c>
      <c r="B15">
        <f>IFERROR(Resumen!C7, 0)</f>
        <v/>
      </c>
      <c r="C15">
        <f>IFERROR(Resumen!E7, 0)</f>
        <v/>
      </c>
      <c r="D15">
        <f>IFERROR(Resumen!G7, 0)</f>
        <v/>
      </c>
      <c r="E15">
        <f>IFERROR(Resumen!I7, 0)</f>
        <v/>
      </c>
      <c r="F15">
        <f>IFERROR(Resumen!K7, 0)</f>
        <v/>
      </c>
      <c r="G15">
        <f>IFERROR(Resumen!M7, 0)</f>
        <v/>
      </c>
      <c r="H15">
        <f>IFERROR(Resumen!O7,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2026-02-26T23:17:18Z</dcterms:created>
  <dcterms:modified xsi:type="dcterms:W3CDTF">2026-02-26T23:17:18Z</dcterms:modified>
</cp:coreProperties>
</file>