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verages" sheetId="2" state="visible" r:id="rId2"/>
    <sheet name="Analysis" sheetId="3" state="visible" r:id="rId3"/>
    <sheet name="Charts" sheetId="4" state="visible" r:id="rId4"/>
  </sheets>
  <definedNames>
    <definedName name="_xlnm._FilterDatabase" localSheetId="0" hidden="1">'Raw Data'!$A$2:$D$32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375623"/>
      <sz val="10"/>
    </font>
    <font>
      <name val="Arial"/>
      <b val="1"/>
      <color rgb="00375623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1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1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/>
    </xf>
    <xf numFmtId="165" fontId="6" fillId="7" borderId="1" applyAlignment="1" pivotButton="0" quotePrefix="0" xfId="0">
      <alignment horizontal="right"/>
    </xf>
    <xf numFmtId="2" fontId="7" fillId="7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8" fillId="3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14375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</row>
      <rowOff>0</rowOff>
    </from>
    <ext cx="714375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714375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</row>
      <rowOff>0</rowOff>
    </from>
    <ext cx="714375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</cols>
  <sheetData>
    <row r="1" ht="24" customHeight="1">
      <c r="A1" s="1" t="inlineStr">
        <is>
          <t>Raw Measurements  |  Cache Line Optimization Benchmark</t>
        </is>
      </c>
    </row>
    <row r="2" ht="20" customHeight="1">
      <c r="A2" s="2" t="inlineStr">
        <is>
          <t>Implementation</t>
        </is>
      </c>
      <c r="B2" s="2" t="inlineStr">
        <is>
          <t>Matrix Size</t>
        </is>
      </c>
      <c r="C2" s="2" t="inlineStr">
        <is>
          <t>Repetition</t>
        </is>
      </c>
      <c r="D2" s="2" t="inlineStr">
        <is>
          <t>Wall Time (ms)</t>
        </is>
      </c>
    </row>
    <row r="3">
      <c r="A3" s="3" t="inlineStr">
        <is>
          <t>std</t>
        </is>
      </c>
      <c r="B3" s="4" t="n">
        <v>1000</v>
      </c>
      <c r="C3" s="5" t="n">
        <v>1</v>
      </c>
      <c r="D3" s="6" t="n">
        <v>2728.909</v>
      </c>
    </row>
    <row r="4">
      <c r="A4" s="7" t="inlineStr">
        <is>
          <t>std</t>
        </is>
      </c>
      <c r="B4" s="8" t="n">
        <v>2000</v>
      </c>
      <c r="C4" s="9" t="n">
        <v>1</v>
      </c>
      <c r="D4" s="10" t="n">
        <v>23513.479</v>
      </c>
    </row>
    <row r="5">
      <c r="A5" s="3" t="inlineStr">
        <is>
          <t>std</t>
        </is>
      </c>
      <c r="B5" s="4" t="n">
        <v>3000</v>
      </c>
      <c r="C5" s="5" t="n">
        <v>1</v>
      </c>
      <c r="D5" s="6" t="n">
        <v>105766.149</v>
      </c>
    </row>
    <row r="6">
      <c r="A6" s="7" t="inlineStr">
        <is>
          <t>std</t>
        </is>
      </c>
      <c r="B6" s="8" t="n">
        <v>1000</v>
      </c>
      <c r="C6" s="9" t="n">
        <v>2</v>
      </c>
      <c r="D6" s="10" t="n">
        <v>2756.545</v>
      </c>
    </row>
    <row r="7">
      <c r="A7" s="3" t="inlineStr">
        <is>
          <t>std</t>
        </is>
      </c>
      <c r="B7" s="4" t="n">
        <v>2000</v>
      </c>
      <c r="C7" s="5" t="n">
        <v>2</v>
      </c>
      <c r="D7" s="6" t="n">
        <v>25662.692</v>
      </c>
    </row>
    <row r="8">
      <c r="A8" s="7" t="inlineStr">
        <is>
          <t>std</t>
        </is>
      </c>
      <c r="B8" s="8" t="n">
        <v>3000</v>
      </c>
      <c r="C8" s="9" t="n">
        <v>2</v>
      </c>
      <c r="D8" s="10" t="n">
        <v>105301.331</v>
      </c>
    </row>
    <row r="9">
      <c r="A9" s="3" t="inlineStr">
        <is>
          <t>std</t>
        </is>
      </c>
      <c r="B9" s="4" t="n">
        <v>1000</v>
      </c>
      <c r="C9" s="5" t="n">
        <v>3</v>
      </c>
      <c r="D9" s="6" t="n">
        <v>2729.829</v>
      </c>
    </row>
    <row r="10">
      <c r="A10" s="7" t="inlineStr">
        <is>
          <t>std</t>
        </is>
      </c>
      <c r="B10" s="8" t="n">
        <v>2000</v>
      </c>
      <c r="C10" s="9" t="n">
        <v>3</v>
      </c>
      <c r="D10" s="10" t="n">
        <v>23888.678</v>
      </c>
    </row>
    <row r="11">
      <c r="A11" s="3" t="inlineStr">
        <is>
          <t>std</t>
        </is>
      </c>
      <c r="B11" s="4" t="n">
        <v>3000</v>
      </c>
      <c r="C11" s="5" t="n">
        <v>3</v>
      </c>
      <c r="D11" s="6" t="n">
        <v>105418.009</v>
      </c>
    </row>
    <row r="12">
      <c r="A12" s="7" t="inlineStr">
        <is>
          <t>std</t>
        </is>
      </c>
      <c r="B12" s="8" t="n">
        <v>1000</v>
      </c>
      <c r="C12" s="9" t="n">
        <v>4</v>
      </c>
      <c r="D12" s="10" t="n">
        <v>2729.893</v>
      </c>
    </row>
    <row r="13">
      <c r="A13" s="3" t="inlineStr">
        <is>
          <t>std</t>
        </is>
      </c>
      <c r="B13" s="4" t="n">
        <v>2000</v>
      </c>
      <c r="C13" s="5" t="n">
        <v>4</v>
      </c>
      <c r="D13" s="6" t="n">
        <v>23747.982</v>
      </c>
    </row>
    <row r="14">
      <c r="A14" s="7" t="inlineStr">
        <is>
          <t>std</t>
        </is>
      </c>
      <c r="B14" s="8" t="n">
        <v>3000</v>
      </c>
      <c r="C14" s="9" t="n">
        <v>4</v>
      </c>
      <c r="D14" s="10" t="n">
        <v>105255.39</v>
      </c>
    </row>
    <row r="15">
      <c r="A15" s="3" t="inlineStr">
        <is>
          <t>std</t>
        </is>
      </c>
      <c r="B15" s="4" t="n">
        <v>1000</v>
      </c>
      <c r="C15" s="5" t="n">
        <v>5</v>
      </c>
      <c r="D15" s="6" t="n">
        <v>2743.226</v>
      </c>
    </row>
    <row r="16">
      <c r="A16" s="7" t="inlineStr">
        <is>
          <t>std</t>
        </is>
      </c>
      <c r="B16" s="8" t="n">
        <v>2000</v>
      </c>
      <c r="C16" s="9" t="n">
        <v>5</v>
      </c>
      <c r="D16" s="10" t="n">
        <v>25718.117</v>
      </c>
    </row>
    <row r="17">
      <c r="A17" s="3" t="inlineStr">
        <is>
          <t>std</t>
        </is>
      </c>
      <c r="B17" s="4" t="n">
        <v>3000</v>
      </c>
      <c r="C17" s="5" t="n">
        <v>5</v>
      </c>
      <c r="D17" s="6" t="n">
        <v>105397.307</v>
      </c>
    </row>
    <row r="18">
      <c r="A18" s="7" t="inlineStr">
        <is>
          <t>cache</t>
        </is>
      </c>
      <c r="B18" s="8" t="n">
        <v>1000</v>
      </c>
      <c r="C18" s="9" t="n">
        <v>1</v>
      </c>
      <c r="D18" s="10" t="n">
        <v>2291.757</v>
      </c>
    </row>
    <row r="19">
      <c r="A19" s="3" t="inlineStr">
        <is>
          <t>cache</t>
        </is>
      </c>
      <c r="B19" s="4" t="n">
        <v>2000</v>
      </c>
      <c r="C19" s="5" t="n">
        <v>1</v>
      </c>
      <c r="D19" s="6" t="n">
        <v>18316.366</v>
      </c>
    </row>
    <row r="20">
      <c r="A20" s="7" t="inlineStr">
        <is>
          <t>cache</t>
        </is>
      </c>
      <c r="B20" s="8" t="n">
        <v>3000</v>
      </c>
      <c r="C20" s="9" t="n">
        <v>1</v>
      </c>
      <c r="D20" s="10" t="n">
        <v>61825.701</v>
      </c>
    </row>
    <row r="21">
      <c r="A21" s="3" t="inlineStr">
        <is>
          <t>cache</t>
        </is>
      </c>
      <c r="B21" s="4" t="n">
        <v>1000</v>
      </c>
      <c r="C21" s="5" t="n">
        <v>2</v>
      </c>
      <c r="D21" s="6" t="n">
        <v>2292.508</v>
      </c>
    </row>
    <row r="22">
      <c r="A22" s="7" t="inlineStr">
        <is>
          <t>cache</t>
        </is>
      </c>
      <c r="B22" s="8" t="n">
        <v>2000</v>
      </c>
      <c r="C22" s="9" t="n">
        <v>2</v>
      </c>
      <c r="D22" s="10" t="n">
        <v>18331.896</v>
      </c>
    </row>
    <row r="23">
      <c r="A23" s="3" t="inlineStr">
        <is>
          <t>cache</t>
        </is>
      </c>
      <c r="B23" s="4" t="n">
        <v>3000</v>
      </c>
      <c r="C23" s="5" t="n">
        <v>2</v>
      </c>
      <c r="D23" s="6" t="n">
        <v>61848.159</v>
      </c>
    </row>
    <row r="24">
      <c r="A24" s="7" t="inlineStr">
        <is>
          <t>cache</t>
        </is>
      </c>
      <c r="B24" s="8" t="n">
        <v>1000</v>
      </c>
      <c r="C24" s="9" t="n">
        <v>3</v>
      </c>
      <c r="D24" s="10" t="n">
        <v>2292.44</v>
      </c>
    </row>
    <row r="25">
      <c r="A25" s="3" t="inlineStr">
        <is>
          <t>cache</t>
        </is>
      </c>
      <c r="B25" s="4" t="n">
        <v>2000</v>
      </c>
      <c r="C25" s="5" t="n">
        <v>3</v>
      </c>
      <c r="D25" s="6" t="n">
        <v>18330.94</v>
      </c>
    </row>
    <row r="26">
      <c r="A26" s="7" t="inlineStr">
        <is>
          <t>cache</t>
        </is>
      </c>
      <c r="B26" s="8" t="n">
        <v>3000</v>
      </c>
      <c r="C26" s="9" t="n">
        <v>3</v>
      </c>
      <c r="D26" s="10" t="n">
        <v>61854.74</v>
      </c>
    </row>
    <row r="27">
      <c r="A27" s="3" t="inlineStr">
        <is>
          <t>cache</t>
        </is>
      </c>
      <c r="B27" s="4" t="n">
        <v>1000</v>
      </c>
      <c r="C27" s="5" t="n">
        <v>4</v>
      </c>
      <c r="D27" s="6" t="n">
        <v>2289.277</v>
      </c>
    </row>
    <row r="28">
      <c r="A28" s="7" t="inlineStr">
        <is>
          <t>cache</t>
        </is>
      </c>
      <c r="B28" s="8" t="n">
        <v>2000</v>
      </c>
      <c r="C28" s="9" t="n">
        <v>4</v>
      </c>
      <c r="D28" s="10" t="n">
        <v>18252.975</v>
      </c>
    </row>
    <row r="29">
      <c r="A29" s="3" t="inlineStr">
        <is>
          <t>cache</t>
        </is>
      </c>
      <c r="B29" s="4" t="n">
        <v>3000</v>
      </c>
      <c r="C29" s="5" t="n">
        <v>4</v>
      </c>
      <c r="D29" s="6" t="n">
        <v>61566.415</v>
      </c>
    </row>
    <row r="30">
      <c r="A30" s="7" t="inlineStr">
        <is>
          <t>cache</t>
        </is>
      </c>
      <c r="B30" s="8" t="n">
        <v>1000</v>
      </c>
      <c r="C30" s="9" t="n">
        <v>5</v>
      </c>
      <c r="D30" s="10" t="n">
        <v>2273.941</v>
      </c>
    </row>
    <row r="31">
      <c r="A31" s="3" t="inlineStr">
        <is>
          <t>cache</t>
        </is>
      </c>
      <c r="B31" s="4" t="n">
        <v>2000</v>
      </c>
      <c r="C31" s="5" t="n">
        <v>5</v>
      </c>
      <c r="D31" s="6" t="n">
        <v>18233.896</v>
      </c>
    </row>
    <row r="32">
      <c r="A32" s="7" t="inlineStr">
        <is>
          <t>cache</t>
        </is>
      </c>
      <c r="B32" s="8" t="n">
        <v>3000</v>
      </c>
      <c r="C32" s="9" t="n">
        <v>5</v>
      </c>
      <c r="D32" s="10" t="n">
        <v>61670.429</v>
      </c>
    </row>
  </sheetData>
  <autoFilter ref="A2:D32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4" customHeight="1">
      <c r="A1" s="1" t="inlineStr">
        <is>
          <t>Average Wall Time &amp; Speedup  |  Speedup = T(std) / T(impl)</t>
        </is>
      </c>
    </row>
    <row r="2" ht="32" customHeight="1">
      <c r="A2" s="11" t="inlineStr">
        <is>
          <t>Implementation</t>
        </is>
      </c>
      <c r="B2" s="2" t="inlineStr">
        <is>
          <t>N=1000
Avg (ms)</t>
        </is>
      </c>
      <c r="C2" s="2" t="inlineStr">
        <is>
          <t>N=1000
Speedup</t>
        </is>
      </c>
      <c r="D2" s="2" t="inlineStr">
        <is>
          <t>N=2000
Avg (ms)</t>
        </is>
      </c>
      <c r="E2" s="2" t="inlineStr">
        <is>
          <t>N=2000
Speedup</t>
        </is>
      </c>
      <c r="F2" s="2" t="inlineStr">
        <is>
          <t>N=3000
Avg (ms)</t>
        </is>
      </c>
      <c r="G2" s="2" t="inlineStr">
        <is>
          <t>N=3000
Speedup</t>
        </is>
      </c>
      <c r="H2" s="11" t="inlineStr">
        <is>
          <t>Avg
Speedup</t>
        </is>
      </c>
    </row>
    <row r="3">
      <c r="A3" s="12" t="inlineStr">
        <is>
          <t>Standard  (i-j-k)</t>
        </is>
      </c>
      <c r="B3" s="13">
        <f>IFERROR(AVERAGEIFS('Raw Data'!D:D,'Raw Data'!A:A,"std",'Raw Data'!B:B,1000),"N/A")</f>
        <v/>
      </c>
      <c r="C3" s="14" t="n">
        <v>1</v>
      </c>
      <c r="D3" s="13">
        <f>IFERROR(AVERAGEIFS('Raw Data'!D:D,'Raw Data'!A:A,"std",'Raw Data'!B:B,2000),"N/A")</f>
        <v/>
      </c>
      <c r="E3" s="14" t="n">
        <v>1</v>
      </c>
      <c r="F3" s="13">
        <f>IFERROR(AVERAGEIFS('Raw Data'!D:D,'Raw Data'!A:A,"std",'Raw Data'!B:B,3000),"N/A")</f>
        <v/>
      </c>
      <c r="G3" s="14" t="n">
        <v>1</v>
      </c>
      <c r="H3" s="15">
        <f>IFERROR(AVERAGE(C3,E3,G3),"N/A")</f>
        <v/>
      </c>
    </row>
    <row r="4">
      <c r="A4" s="12" t="inlineStr">
        <is>
          <t>Transposed  (row × row)</t>
        </is>
      </c>
      <c r="B4" s="16">
        <f>IFERROR(AVERAGEIFS('Raw Data'!D:D,'Raw Data'!A:A,"cache",'Raw Data'!B:B,1000),"N/A")</f>
        <v/>
      </c>
      <c r="C4" s="14">
        <f>IFERROR($B$3/B4,"N/A")</f>
        <v/>
      </c>
      <c r="D4" s="16">
        <f>IFERROR(AVERAGEIFS('Raw Data'!D:D,'Raw Data'!A:A,"cache",'Raw Data'!B:B,2000),"N/A")</f>
        <v/>
      </c>
      <c r="E4" s="14">
        <f>IFERROR($D$3/D4,"N/A")</f>
        <v/>
      </c>
      <c r="F4" s="16">
        <f>IFERROR(AVERAGEIFS('Raw Data'!D:D,'Raw Data'!A:A,"cache",'Raw Data'!B:B,3000),"N/A")</f>
        <v/>
      </c>
      <c r="G4" s="14">
        <f>IFERROR($F$3/F4,"N/A")</f>
        <v/>
      </c>
      <c r="H4" s="15">
        <f>IFERROR(AVERAGE(C4,E4,G4),"N/A")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58" customWidth="1" min="4" max="4"/>
  </cols>
  <sheetData>
    <row r="1" ht="24" customHeight="1">
      <c r="A1" s="1" t="inlineStr">
        <is>
          <t>Key Findings  |  Cache Line Optimization Benchmark</t>
        </is>
      </c>
    </row>
    <row r="3" ht="20" customHeight="1">
      <c r="A3" s="17" t="inlineStr">
        <is>
          <t>1. Speedup por tamaño  (T_std / T_cache)</t>
        </is>
      </c>
    </row>
    <row r="4">
      <c r="A4" s="18" t="inlineStr">
        <is>
          <t>N = 1000</t>
        </is>
      </c>
      <c r="B4" s="19" t="inlineStr">
        <is>
          <t>1.197x</t>
        </is>
      </c>
      <c r="C4" s="20" t="inlineStr"/>
      <c r="D4" s="7" t="inlineStr">
        <is>
          <t>cache mas rapido</t>
        </is>
      </c>
    </row>
    <row r="5">
      <c r="A5" s="21" t="inlineStr">
        <is>
          <t>N = 2000</t>
        </is>
      </c>
      <c r="B5" s="22" t="inlineStr">
        <is>
          <t>1.340x</t>
        </is>
      </c>
      <c r="C5" s="23" t="inlineStr"/>
      <c r="D5" s="3" t="inlineStr">
        <is>
          <t>cache mas rapido</t>
        </is>
      </c>
    </row>
    <row r="6">
      <c r="A6" s="18" t="inlineStr">
        <is>
          <t>N = 3000</t>
        </is>
      </c>
      <c r="B6" s="19" t="inlineStr">
        <is>
          <t>1.707x</t>
        </is>
      </c>
      <c r="C6" s="20" t="inlineStr"/>
      <c r="D6" s="7" t="inlineStr">
        <is>
          <t>cache mas rapido</t>
        </is>
      </c>
    </row>
    <row r="8" ht="20" customHeight="1">
      <c r="A8" s="17" t="inlineStr">
        <is>
          <t>2. Comportamiento de cache por implementacion</t>
        </is>
      </c>
    </row>
    <row r="9">
      <c r="A9" s="21" t="inlineStr">
        <is>
          <t>Standard  (i-j-k)</t>
        </is>
      </c>
      <c r="B9" s="22" t="inlineStr"/>
      <c r="C9" s="23" t="inlineStr"/>
      <c r="D9" s="3" t="inlineStr">
        <is>
          <t>Loop order i-k-j. matrix2[k][j] accesses row k sequentially — already cache-friendly. matrix1[i][k] is a scalar reused across all j iterations (register). One of the better naive orderings.</t>
        </is>
      </c>
    </row>
    <row r="10">
      <c r="A10" s="18" t="inlineStr">
        <is>
          <t>Transposed  (row × row)</t>
        </is>
      </c>
      <c r="B10" s="19" t="inlineStr"/>
      <c r="C10" s="20" t="inlineStr"/>
      <c r="D10" s="7" t="inlineStr">
        <is>
          <t>Transposes matrix2 before multiplying. Inner loop accesses matrix2T[j][k] row-by-row, matching matrix1[i][k] access pattern. Both operands advance sequentially in memory on every inner step.</t>
        </is>
      </c>
    </row>
    <row r="12" ht="20" customHeight="1">
      <c r="A12" s="17" t="inlineStr">
        <is>
          <t>3. Estabilidad de mediciones  (Coeficiente de Variacion)</t>
        </is>
      </c>
    </row>
    <row r="13">
      <c r="A13" s="21" t="inlineStr">
        <is>
          <t>std  N=1000</t>
        </is>
      </c>
      <c r="B13" s="22" t="inlineStr">
        <is>
          <t>CV = 0.44%</t>
        </is>
      </c>
      <c r="C13" s="23" t="inlineStr"/>
      <c r="D13" s="3" t="inlineStr">
        <is>
          <t>Excelente (&lt;1%)</t>
        </is>
      </c>
    </row>
    <row r="14">
      <c r="A14" s="18" t="inlineStr">
        <is>
          <t>std  N=2000</t>
        </is>
      </c>
      <c r="B14" s="19" t="inlineStr">
        <is>
          <t>CV = 4.45%</t>
        </is>
      </c>
      <c r="C14" s="20" t="inlineStr"/>
      <c r="D14" s="7" t="inlineStr">
        <is>
          <t>Revisar</t>
        </is>
      </c>
    </row>
    <row r="15">
      <c r="A15" s="21" t="inlineStr">
        <is>
          <t>std  N=3000</t>
        </is>
      </c>
      <c r="B15" s="22" t="inlineStr">
        <is>
          <t>CV = 0.19%</t>
        </is>
      </c>
      <c r="C15" s="23" t="inlineStr"/>
      <c r="D15" s="3" t="inlineStr">
        <is>
          <t>Excelente (&lt;1%)</t>
        </is>
      </c>
    </row>
    <row r="16">
      <c r="A16" s="18" t="inlineStr">
        <is>
          <t>cache  N=1000</t>
        </is>
      </c>
      <c r="B16" s="19" t="inlineStr">
        <is>
          <t>CV = 0.35%</t>
        </is>
      </c>
      <c r="C16" s="20" t="inlineStr"/>
      <c r="D16" s="7" t="inlineStr">
        <is>
          <t>Excelente (&lt;1%)</t>
        </is>
      </c>
    </row>
    <row r="17">
      <c r="A17" s="21" t="inlineStr">
        <is>
          <t>cache  N=2000</t>
        </is>
      </c>
      <c r="B17" s="22" t="inlineStr">
        <is>
          <t>CV = 0.25%</t>
        </is>
      </c>
      <c r="C17" s="23" t="inlineStr"/>
      <c r="D17" s="3" t="inlineStr">
        <is>
          <t>Excelente (&lt;1%)</t>
        </is>
      </c>
    </row>
    <row r="18">
      <c r="A18" s="18" t="inlineStr">
        <is>
          <t>cache  N=3000</t>
        </is>
      </c>
      <c r="B18" s="19" t="inlineStr">
        <is>
          <t>CV = 0.21%</t>
        </is>
      </c>
      <c r="C18" s="20" t="inlineStr"/>
      <c r="D18" s="7" t="inlineStr">
        <is>
          <t>Excelente (&lt;1%)</t>
        </is>
      </c>
    </row>
    <row r="20" ht="20" customHeight="1">
      <c r="A20" s="17" t="inlineStr">
        <is>
          <t>4. Tendencia con el tamano de la matriz</t>
        </is>
      </c>
    </row>
    <row r="21">
      <c r="A21" s="21" t="inlineStr">
        <is>
          <t>N = 1000</t>
        </is>
      </c>
      <c r="B21" s="22" t="inlineStr">
        <is>
          <t>1.197x</t>
        </is>
      </c>
      <c r="C21" s="23" t="inlineStr"/>
      <c r="D21" s="3" t="inlineStr"/>
    </row>
    <row r="22">
      <c r="A22" s="18" t="inlineStr">
        <is>
          <t>N = 2000</t>
        </is>
      </c>
      <c r="B22" s="19" t="inlineStr">
        <is>
          <t>1.340x</t>
        </is>
      </c>
      <c r="C22" s="20" t="inlineStr"/>
      <c r="D22" s="7" t="inlineStr">
        <is>
          <t>Speedup crece: presion de cache aumenta con N, transpuesta beneficia mas</t>
        </is>
      </c>
    </row>
    <row r="23">
      <c r="A23" s="21" t="inlineStr">
        <is>
          <t>N = 3000</t>
        </is>
      </c>
      <c r="B23" s="22" t="inlineStr">
        <is>
          <t>1.707x</t>
        </is>
      </c>
      <c r="C23" s="23" t="inlineStr"/>
      <c r="D23" s="3" t="inlineStr">
        <is>
          <t>Speedup crece: presion de cache aumenta con N, transpuesta beneficia mas</t>
        </is>
      </c>
    </row>
  </sheetData>
  <mergeCells count="5">
    <mergeCell ref="A1:D1"/>
    <mergeCell ref="A8:D8"/>
    <mergeCell ref="A12:D12"/>
    <mergeCell ref="A20:D20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Visual Analysis  |  Cache Line Optimization Benchmark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2026-03-04T20:46:13Z</dcterms:created>
  <dcterms:modified xsi:type="dcterms:W3CDTF">2026-03-04T20:46:13Z</dcterms:modified>
</cp:coreProperties>
</file>